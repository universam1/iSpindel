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/>
  <bookViews>
    <workbookView xWindow="0" yWindow="0" windowWidth="19200" windowHeight="8385"/>
  </bookViews>
  <sheets>
    <sheet name="Kalibrierung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<sst xmlns="http://schemas.openxmlformats.org/spreadsheetml/2006/main" count="7" uniqueCount="7">
  <si>
    <t>Kalibrierung iSpindel</t>
  </si>
  <si>
    <t>gemessener °Plato</t>
  </si>
  <si>
    <t>gemessener Winkel (°)</t>
  </si>
  <si>
    <t/>
  </si>
  <si>
    <t>Plato Formel:</t>
  </si>
  <si>
    <t>Abweichung °</t>
  </si>
  <si>
    <t>0.008699786*tilt^2 - 0.457563239*tilt + 5.15023517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</si>
</sst>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\ \°\P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textRotation="45" wrapText="1"/>
    </xf>
    <xf numFmtId="0" fontId="1" fillId="2" borderId="0" xfId="3"/>
    <xf numFmtId="0" fontId="0" fillId="0" borderId="0" xfId="0" quotePrefix="1"/>
    <xf numFmtId="0" fontId="0" fillId="2" borderId="0" xfId="3" applyFont="1"/>
    <xf numFmtId="164" fontId="0" fillId="0" borderId="0" xfId="0" applyNumberFormat="1" applyProtection="1"/>
    <xf numFmtId="0" fontId="2" fillId="0" borderId="1" xfId="1" applyAlignment="1">
      <alignment horizontal="center"/>
    </xf>
    <xf numFmtId="0" fontId="3" fillId="0" borderId="2" xfId="2" applyAlignment="1">
      <alignment horizontal="center"/>
    </xf>
  </cellXfs>
  <cellStyles count="4">
    <cellStyle name="40% - Accent2" xfId="3" builtinId="35"/>
    <cellStyle name="Heading 1" xfId="1" builtinId="16"/>
    <cellStyle name="Heading 2" xfId="2" builtinId="17"/>
    <cellStyle name="Normal" xfId="0" builtinId="0"/>
  </cellStyles>
  <dxfs count="2">
    <dxf>
      <numFmt numFmtId="164" formatCode="0.00\ \°\P"/>
      <protection locked="1" hidden="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gemessener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de-DE"/>
                </a:p>
              </c:txPr>
            </c:trendlineLbl>
          </c:trendline>
          <c:trendline>
            <c:trendlineType val="poly"/>
            <c:order val="2"/>
            <c:dispRSqr val="0"/>
            <c:dispEq val="0"/>
          </c:trendline>
          <c:xVal>
            <c:numRef>
              <c:f>Kalibrierung!$B$4:$B$22</c:f>
              <c:numCache>
                <c:formatCode>General</c:formatCode>
                <c:ptCount val="19"/>
                <c:pt idx="0">
                  <c:v>39</c:v>
                </c:pt>
                <c:pt idx="1">
                  <c:v>44.4</c:v>
                </c:pt>
                <c:pt idx="2">
                  <c:v>65.150000000000006</c:v>
                </c:pt>
                <c:pt idx="3">
                  <c:v>70.989999999999995</c:v>
                </c:pt>
              </c:numCache>
            </c:numRef>
          </c:xVal>
          <c:yVal>
            <c:numRef>
              <c:f>Kalibrierung!$C$4:$C$22</c:f>
              <c:numCache>
                <c:formatCode>General</c:formatCode>
                <c:ptCount val="19"/>
                <c:pt idx="0">
                  <c:v>0</c:v>
                </c:pt>
                <c:pt idx="1">
                  <c:v>2.8</c:v>
                </c:pt>
                <c:pt idx="2">
                  <c:v>11.5</c:v>
                </c:pt>
                <c:pt idx="3">
                  <c:v>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6816"/>
        <c:axId val="100628736"/>
      </c:scatterChart>
      <c:valAx>
        <c:axId val="10062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Winkel °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de-DE"/>
          </a:p>
        </c:txPr>
        <c:crossAx val="100628736"/>
        <c:crosses val="autoZero"/>
        <c:crossBetween val="midCat"/>
      </c:valAx>
      <c:valAx>
        <c:axId val="10062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de-DE"/>
          </a:p>
        </c:txPr>
        <c:crossAx val="100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23812</xdr:rowOff>
    </xdr:from>
    <xdr:to>
      <xdr:col>14</xdr:col>
      <xdr:colOff>28575</xdr:colOff>
      <xdr:row>26</xdr:row>
      <xdr:rowOff>19050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23</xdr:row>
          <xdr:rowOff>104775</xdr:rowOff>
        </xdr:from>
        <xdr:to>
          <xdr:col>2</xdr:col>
          <xdr:colOff>304800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3:D22" totalsRowShown="0" headerRowDxfId="1">
  <autoFilter ref="B3:D22"/>
  <tableColumns count="3">
    <tableColumn id="1" name="gemessener Winkel (°)"/>
    <tableColumn id="2" name="gemessener °Plato"/>
    <tableColumn id="3" name="Abweichung °" dataDxfId="0">
      <calculatedColumnFormula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8"/>
  <sheetViews>
    <sheetView tabSelected="1" workbookViewId="0">
      <selection activeCell="C7" sqref="C7"/>
    </sheetView>
  </sheetViews>
  <sheetFormatPr defaultColWidth="11.42578125" defaultRowHeight="15" x14ac:dyDescent="0.25"/>
  <cols>
    <col min="2" max="3" width="11.42578125" bestFit="1" customWidth="1"/>
  </cols>
  <sheetData>
    <row r="1" spans="1:4" ht="20.25" thickBot="1" x14ac:dyDescent="0.35">
      <c r="A1" s="7" t="s">
        <v>0</v>
      </c>
      <c r="B1" s="7"/>
      <c r="C1" s="7"/>
      <c r="D1" s="7"/>
    </row>
    <row r="2" spans="1:4" ht="15.75" thickTop="1" x14ac:dyDescent="0.25"/>
    <row r="3" spans="1:4" ht="54.75" customHeight="1" x14ac:dyDescent="0.25">
      <c r="A3" s="1"/>
      <c r="B3" s="2" t="s">
        <v>2</v>
      </c>
      <c r="C3" s="2" t="s">
        <v>1</v>
      </c>
      <c r="D3" s="2" t="s">
        <v>5</v>
      </c>
    </row>
    <row r="4" spans="1:4" x14ac:dyDescent="0.25">
      <c r="B4">
        <v>39</v>
      </c>
      <c r="C4">
        <v>0</v>
      </c>
      <c r="D4" s="6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>-0.53764335499999838</v>
      </c>
    </row>
    <row r="5" spans="1:4" x14ac:dyDescent="0.25">
      <c r="B5">
        <v>44.4</v>
      </c>
      <c r="C5">
        <v>2.8</v>
      </c>
      <c r="D5" s="6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>0.8151625126400015</v>
      </c>
    </row>
    <row r="6" spans="1:4" x14ac:dyDescent="0.25">
      <c r="B6">
        <v>65.150000000000006</v>
      </c>
      <c r="C6">
        <v>11.5</v>
      </c>
      <c r="D6" s="6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>-0.76642757133499906</v>
      </c>
    </row>
    <row r="7" spans="1:4" x14ac:dyDescent="0.25">
      <c r="B7">
        <v>70.989999999999995</v>
      </c>
      <c r="C7">
        <v>17</v>
      </c>
      <c r="D7" s="6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>0.48891076675140965</v>
      </c>
    </row>
    <row r="8" spans="1:4" x14ac:dyDescent="0.25">
      <c r="D8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9" spans="1:4" x14ac:dyDescent="0.25">
      <c r="D9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0" spans="1:4" x14ac:dyDescent="0.25">
      <c r="D10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1" spans="1:4" x14ac:dyDescent="0.25">
      <c r="D11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2" spans="1:4" x14ac:dyDescent="0.25">
      <c r="D12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3" spans="1:4" x14ac:dyDescent="0.25">
      <c r="D13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4" spans="1:4" x14ac:dyDescent="0.25">
      <c r="D14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5" spans="1:4" x14ac:dyDescent="0.25">
      <c r="D15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6" spans="1:4" x14ac:dyDescent="0.25">
      <c r="D16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7" spans="1:5" x14ac:dyDescent="0.25">
      <c r="D17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8" spans="1:5" x14ac:dyDescent="0.25">
      <c r="D18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19" spans="1:5" x14ac:dyDescent="0.25">
      <c r="D19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20" spans="1:5" x14ac:dyDescent="0.25">
      <c r="D20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21" spans="1:5" x14ac:dyDescent="0.25">
      <c r="D21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22" spans="1:5" x14ac:dyDescent="0.25">
      <c r="D22" s="6" t="str">
        <f xml:space="preserve"> IF( Table1[[#This Row],[gemessener °Plato]] &lt;&gt;  "", Table1[[#This Row],[gemessener °Plato]] - ( 0.008699786 * Table1[[#This Row],[gemessener Winkel (°)]] * Table1[[#This Row],[gemessener Winkel (°)]]  - 0.457563239 * Table1[[#This Row],[gemessener Winkel (°)]] + 5.15023517 ),"")</f>
        <v/>
      </c>
    </row>
    <row r="23" spans="1:5" x14ac:dyDescent="0.25">
      <c r="D23" s="4" t="s">
        <v>3</v>
      </c>
    </row>
    <row r="27" spans="1:5" ht="18" thickBot="1" x14ac:dyDescent="0.35">
      <c r="A27" s="8" t="s">
        <v>4</v>
      </c>
      <c r="B27" s="8"/>
      <c r="C27" s="8"/>
      <c r="D27" s="8"/>
      <c r="E27" s="8"/>
    </row>
    <row r="28" spans="1:5" ht="15.75" thickTop="1" x14ac:dyDescent="0.25">
      <c r="A28" s="5" t="s">
        <v>6</v>
      </c>
      <c r="B28" s="3"/>
      <c r="C28" s="3"/>
      <c r="D28" s="3"/>
      <c r="E28" s="3"/>
    </row>
  </sheetData>
  <mergeCells count="2">
    <mergeCell ref="A1:D1"/>
    <mergeCell ref="A27:E2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238125</xdr:colOff>
                    <xdr:row>23</xdr:row>
                    <xdr:rowOff>104775</xdr:rowOff>
                  </from>
                  <to>
                    <xdr:col>2</xdr:col>
                    <xdr:colOff>304800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2016-11-29T09:38:19Z</dcterms:created>
  <dcterms:modified xsi:type="dcterms:W3CDTF">2017-03-31T06:51:45Z</dcterms:modified>
</cp:coreProperties>
</file>