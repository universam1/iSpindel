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filterPrivacy="1" codeName="ThisWorkbook"/>
  <xr:revisionPtr revIDLastSave="0" documentId="12_ncr:400001_{069AB07E-E79F-4008-8578-130E9C07A44E}" xr6:coauthVersionLast="28" xr6:coauthVersionMax="28" xr10:uidLastSave="{00000000-0000-0000-0000-000000000000}"/>
  <bookViews>
    <workbookView xWindow="0" yWindow="0" windowWidth="13932" windowHeight="7452" xr2:uid="{00000000-000D-0000-FFFF-FFFF00000000}"/>
  </bookViews>
  <sheets>
    <sheet name="Kalibrierung" sheetId="1" r:id="rId1"/>
  </sheets>
  <definedNames>
    <definedName name="Measured_°Plato">Kalibrierung!#REF!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4" i="1"/>
  <c r="C5" i="1"/>
  <c r="C6" i="1"/>
  <c r="C7" i="1"/>
</calcChain>
</file>

<file path=xl/sharedStrings.xml><?xml version="1.0" encoding="utf-8"?>
<sst xmlns="http://schemas.openxmlformats.org/spreadsheetml/2006/main" count="8" uniqueCount="8">
  <si>
    <t/>
  </si>
  <si>
    <t>Plato Formel:</t>
  </si>
  <si>
    <t>Measured °Plato</t>
  </si>
  <si>
    <t>Deviation °</t>
  </si>
  <si>
    <t>Measured Angle (°)</t>
  </si>
  <si>
    <t>Measured SG</t>
  </si>
  <si>
    <t>Calibration of the iSpindel</t>
  </si>
  <si>
    <t>-0.050364959*tilt^2 + 6.868698667*tilt - 185.8498673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</si>
</sst>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 \°\P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textRotation="45" wrapText="1"/>
    </xf>
    <xf numFmtId="0" fontId="0" fillId="0" borderId="0" xfId="0" quotePrefix="1"/>
    <xf numFmtId="164" fontId="0" fillId="0" borderId="0" xfId="0" applyNumberFormat="1" applyProtection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166" fontId="0" fillId="0" borderId="0" xfId="0" applyNumberFormat="1"/>
    <xf numFmtId="0" fontId="2" fillId="0" borderId="0" xfId="0" applyFont="1" applyAlignment="1"/>
  </cellXfs>
  <cellStyles count="1">
    <cellStyle name="Normal" xfId="0" builtinId="0"/>
  </cellStyles>
  <dxfs count="4">
    <dxf>
      <numFmt numFmtId="0" formatCode="General"/>
    </dxf>
    <dxf>
      <numFmt numFmtId="166" formatCode="0.0000"/>
    </dxf>
    <dxf>
      <numFmt numFmtId="164" formatCode="0.00\ \°\P"/>
      <protection locked="1" hidden="0"/>
    </dxf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Kalibrierung!$C$3</c:f>
              <c:strCache>
                <c:ptCount val="1"/>
                <c:pt idx="0">
                  <c:v>Measured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9.3608923884514431E-2"/>
                  <c:y val="-4.3227774098331166E-2"/>
                </c:manualLayout>
              </c:layout>
              <c:numFmt formatCode="@" sourceLinked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sv-SE"/>
                </a:p>
              </c:txPr>
            </c:trendlineLbl>
          </c:trendline>
          <c:trendline>
            <c:trendlineType val="poly"/>
            <c:order val="2"/>
            <c:dispRSqr val="0"/>
            <c:dispEq val="0"/>
          </c:trendline>
          <c:xVal>
            <c:numRef>
              <c:f>Kalibrierung!$A$4:$A$22</c:f>
              <c:numCache>
                <c:formatCode>General</c:formatCode>
                <c:ptCount val="19"/>
                <c:pt idx="0">
                  <c:v>39</c:v>
                </c:pt>
                <c:pt idx="1">
                  <c:v>44.4</c:v>
                </c:pt>
                <c:pt idx="2">
                  <c:v>65.150000000000006</c:v>
                </c:pt>
                <c:pt idx="3">
                  <c:v>70.989999999999995</c:v>
                </c:pt>
              </c:numCache>
            </c:numRef>
          </c:xVal>
          <c:yVal>
            <c:numRef>
              <c:f>Kalibrierung!$C$4:$C$22</c:f>
              <c:numCache>
                <c:formatCode>General</c:formatCode>
                <c:ptCount val="19"/>
                <c:pt idx="0">
                  <c:v>-2.9999999999859028E-3</c:v>
                </c:pt>
                <c:pt idx="1">
                  <c:v>2.5607778970000084</c:v>
                </c:pt>
                <c:pt idx="2">
                  <c:v>11.673689887530941</c:v>
                </c:pt>
                <c:pt idx="3">
                  <c:v>17.055560070999974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0C-4370-89DE-CC0624F10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26816"/>
        <c:axId val="100628736"/>
      </c:scatterChart>
      <c:valAx>
        <c:axId val="100626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 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sv-SE"/>
          </a:p>
        </c:txPr>
        <c:crossAx val="100628736"/>
        <c:crosses val="autoZero"/>
        <c:crossBetween val="midCat"/>
      </c:valAx>
      <c:valAx>
        <c:axId val="100628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sv-SE"/>
          </a:p>
        </c:txPr>
        <c:crossAx val="100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</xdr:row>
      <xdr:rowOff>23812</xdr:rowOff>
    </xdr:from>
    <xdr:to>
      <xdr:col>14</xdr:col>
      <xdr:colOff>28575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23</xdr:row>
          <xdr:rowOff>22860</xdr:rowOff>
        </xdr:from>
        <xdr:to>
          <xdr:col>3</xdr:col>
          <xdr:colOff>38100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D22" totalsRowShown="0" headerRowDxfId="3">
  <autoFilter ref="A3:D22" xr:uid="{00000000-0009-0000-0100-000001000000}"/>
  <tableColumns count="4">
    <tableColumn id="1" xr3:uid="{00000000-0010-0000-0000-000001000000}" name="Measured Angle (°)"/>
    <tableColumn id="4" xr3:uid="{642608B4-33FD-4985-9B98-6C3A29C760B2}" name="Measured SG" dataDxfId="1"/>
    <tableColumn id="2" xr3:uid="{00000000-0010-0000-0000-000002000000}" name="Measured °Plato" dataDxfId="0">
      <calculatedColumnFormula>(-1*616.868)+(1111.14*Kalibrierung!B4)-(630.272*Kalibrierung!B4^2)+(135.997*Kalibrierung!B4^3)</calculatedColumnFormula>
    </tableColumn>
    <tableColumn id="3" xr3:uid="{00000000-0010-0000-0000-000003000000}" name="Deviation °" dataDxfId="2">
      <calculatedColumnFormula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3"/>
  <sheetViews>
    <sheetView tabSelected="1" workbookViewId="0">
      <selection activeCell="B8" sqref="B8"/>
    </sheetView>
  </sheetViews>
  <sheetFormatPr defaultColWidth="11.44140625" defaultRowHeight="14.4" x14ac:dyDescent="0.3"/>
  <cols>
    <col min="1" max="1" width="11.44140625" bestFit="1" customWidth="1"/>
    <col min="2" max="2" width="11.44140625" customWidth="1"/>
    <col min="3" max="3" width="11.44140625" bestFit="1" customWidth="1"/>
  </cols>
  <sheetData>
    <row r="1" spans="1:14" ht="19.8" x14ac:dyDescent="0.4">
      <c r="A1" s="5" t="s">
        <v>6</v>
      </c>
      <c r="B1" s="5"/>
      <c r="C1" s="5"/>
      <c r="D1" s="5"/>
      <c r="E1" s="8"/>
      <c r="F1" s="4" t="s">
        <v>1</v>
      </c>
      <c r="G1" s="4"/>
      <c r="H1" s="6" t="s">
        <v>7</v>
      </c>
      <c r="I1" s="6"/>
      <c r="J1" s="6"/>
      <c r="K1" s="6"/>
      <c r="L1" s="6"/>
      <c r="M1" s="6"/>
      <c r="N1" s="6"/>
    </row>
    <row r="3" spans="1:14" ht="54.75" customHeight="1" x14ac:dyDescent="0.3">
      <c r="A3" s="1" t="s">
        <v>4</v>
      </c>
      <c r="B3" s="1" t="s">
        <v>5</v>
      </c>
      <c r="C3" s="1" t="s">
        <v>2</v>
      </c>
      <c r="D3" s="1" t="s">
        <v>3</v>
      </c>
    </row>
    <row r="4" spans="1:14" x14ac:dyDescent="0.3">
      <c r="A4">
        <v>39</v>
      </c>
      <c r="B4" s="7">
        <v>1</v>
      </c>
      <c r="C4">
        <f>(-1*616.868)+(1111.14*Kalibrierung!B4)-(630.272*Kalibrierung!B4^2)+(135.997*Kalibrierung!B4^3)</f>
        <v>-2.9999999999859028E-3</v>
      </c>
      <c r="D4" s="3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-5.427278073999986</v>
      </c>
    </row>
    <row r="5" spans="1:14" x14ac:dyDescent="0.3">
      <c r="A5">
        <v>44.4</v>
      </c>
      <c r="B5" s="7">
        <v>1.01</v>
      </c>
      <c r="C5">
        <f>(-1*616.868)+(1111.14*Kalibrierung!B5)-(630.272*Kalibrierung!B5^2)+(135.997*Kalibrierung!B5^3)</f>
        <v>2.5607778970000084</v>
      </c>
      <c r="D5" s="3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-17.272110043560019</v>
      </c>
    </row>
    <row r="6" spans="1:14" x14ac:dyDescent="0.3">
      <c r="A6">
        <v>65.150000000000006</v>
      </c>
      <c r="B6" s="7">
        <v>1.0469999999999999</v>
      </c>
      <c r="C6">
        <f>(-1*616.868)+(1111.14*Kalibrierung!B6)-(630.272*Kalibrierung!B6^2)+(135.997*Kalibrierung!B6^3)</f>
        <v>11.673689887530941</v>
      </c>
      <c r="D6" s="3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-36.196959280441547</v>
      </c>
    </row>
    <row r="7" spans="1:14" x14ac:dyDescent="0.3">
      <c r="A7">
        <v>70.989999999999995</v>
      </c>
      <c r="B7" s="7">
        <v>1.07</v>
      </c>
      <c r="C7">
        <f>(-1*616.868)+(1111.14*Kalibrierung!B7)-(630.272*Kalibrierung!B7^2)+(135.997*Kalibrierung!B7^3)</f>
        <v>17.055560070999974</v>
      </c>
      <c r="D7" s="3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-30.885245885614154</v>
      </c>
    </row>
    <row r="8" spans="1:14" x14ac:dyDescent="0.3">
      <c r="B8" s="7"/>
      <c r="D8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9" spans="1:14" x14ac:dyDescent="0.3">
      <c r="B9" s="7"/>
      <c r="D9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0" spans="1:14" x14ac:dyDescent="0.3">
      <c r="B10" s="7"/>
      <c r="D10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1" spans="1:14" x14ac:dyDescent="0.3">
      <c r="B11" s="7"/>
      <c r="D11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2" spans="1:14" x14ac:dyDescent="0.3">
      <c r="B12" s="7"/>
      <c r="D12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3" spans="1:14" x14ac:dyDescent="0.3">
      <c r="B13" s="7"/>
      <c r="D13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4" spans="1:14" x14ac:dyDescent="0.3">
      <c r="B14" s="7"/>
      <c r="D14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5" spans="1:14" x14ac:dyDescent="0.3">
      <c r="B15" s="7"/>
      <c r="D15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6" spans="1:14" x14ac:dyDescent="0.3">
      <c r="B16" s="7"/>
      <c r="D16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7" spans="2:4" x14ac:dyDescent="0.3">
      <c r="B17" s="7"/>
      <c r="D17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8" spans="2:4" x14ac:dyDescent="0.3">
      <c r="B18" s="7"/>
      <c r="D18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9" spans="2:4" x14ac:dyDescent="0.3">
      <c r="B19" s="7"/>
      <c r="D19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0" spans="2:4" x14ac:dyDescent="0.3">
      <c r="B20" s="7"/>
      <c r="D20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1" spans="2:4" x14ac:dyDescent="0.3">
      <c r="B21" s="7"/>
      <c r="D21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2" spans="2:4" x14ac:dyDescent="0.3">
      <c r="B22" s="7"/>
      <c r="D22" s="3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3" spans="2:4" x14ac:dyDescent="0.3">
      <c r="D23" s="2" t="s">
        <v>0</v>
      </c>
    </row>
  </sheetData>
  <mergeCells count="3">
    <mergeCell ref="F1:G1"/>
    <mergeCell ref="H1:N1"/>
    <mergeCell ref="A1:D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endlinieInZelle">
                <anchor moveWithCells="1">
                  <from>
                    <xdr:col>0</xdr:col>
                    <xdr:colOff>754380</xdr:colOff>
                    <xdr:row>23</xdr:row>
                    <xdr:rowOff>22860</xdr:rowOff>
                  </from>
                  <to>
                    <xdr:col>3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Kalibrierung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2016-11-29T09:38:19Z</dcterms:created>
  <dcterms:modified xsi:type="dcterms:W3CDTF">2018-03-22T05:25:01Z</dcterms:modified>
</cp:coreProperties>
</file>